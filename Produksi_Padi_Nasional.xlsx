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Bulanan" sheetId="1" state="visible" r:id="rId3"/>
    <sheet name="Data_Tahunan" sheetId="2" state="visible" r:id="rId4"/>
    <sheet name="Catatan" sheetId="3" state="visible" r:id="rId5"/>
  </sheets>
  <definedNames>
    <definedName function="false" hidden="true" localSheetId="0" name="_xlnm._FilterDatabase" vbProcedure="false">Data_Bulanan!$A$1:$E$109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<sst xmlns="http://schemas.openxmlformats.org/spreadsheetml/2006/main" count="122" uniqueCount="25">
  <si>
    <t xml:space="preserve">Tanggal</t>
  </si>
  <si>
    <t xml:space="preserve">Tahun</t>
  </si>
  <si>
    <t xml:space="preserve">No_Bulan</t>
  </si>
  <si>
    <t xml:space="preserve">Bulan</t>
  </si>
  <si>
    <t xml:space="preserve">Produksi_Ton</t>
  </si>
  <si>
    <t xml:space="preserve">Januari</t>
  </si>
  <si>
    <t xml:space="preserve">Februari</t>
  </si>
  <si>
    <t xml:space="preserve">Maret</t>
  </si>
  <si>
    <t xml:space="preserve">April</t>
  </si>
  <si>
    <t xml:space="preserve">Mei</t>
  </si>
  <si>
    <t xml:space="preserve">Juni</t>
  </si>
  <si>
    <t xml:space="preserve">Juli</t>
  </si>
  <si>
    <t xml:space="preserve">Agustus</t>
  </si>
  <si>
    <t xml:space="preserve">September</t>
  </si>
  <si>
    <t xml:space="preserve">Oktober</t>
  </si>
  <si>
    <t xml:space="preserve">November</t>
  </si>
  <si>
    <t xml:space="preserve">Desember</t>
  </si>
  <si>
    <t xml:space="preserve">Produksi_Tahunan_Ton (sumber)</t>
  </si>
  <si>
    <t xml:space="preserve">Jumlah_Bulanan_Ton (hitung)</t>
  </si>
  <si>
    <t xml:space="preserve">Selisih_Ton</t>
  </si>
  <si>
    <t xml:space="preserve">Catatan - Produksi Padi Nasional (ton)</t>
  </si>
  <si>
    <t xml:space="preserve">1. Format panjang: 1 baris = 1 tahun x 1 bulan. Satuan: ton.</t>
  </si>
  <si>
    <t xml:space="preserve">2. Nilai "-" pada data asli dikosongkan (bukan 0). Kosong = tidak ada data.</t>
  </si>
  <si>
    <t xml:space="preserve">3. Data 2026 baru sampai Agustus; September-Desember kosong dan total tahunan 2026 bersifat sementara.</t>
  </si>
  <si>
    <t xml:space="preserve">4. Selisih kecil (maks. 2 ton) antara total tahunan dan jumlah bulanan berasal dari pembulatan data sumber.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</si>
</sst>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"/>
    <numFmt numFmtId="166" formatCode="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8"/>
    <col collapsed="false" customWidth="true" hidden="false" outlineLevel="0" max="3" min="3" style="0" width="10"/>
    <col collapsed="false" customWidth="true" hidden="false" outlineLevel="0" max="4" min="4" style="0" width="12"/>
    <col collapsed="false" customWidth="true" hidden="false" outlineLevel="0" max="5" min="5" style="0" width="1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43101</v>
      </c>
      <c r="B2" s="3" t="n">
        <v>2018</v>
      </c>
      <c r="C2" s="3" t="n">
        <v>1</v>
      </c>
      <c r="D2" s="3" t="s">
        <v>5</v>
      </c>
      <c r="E2" s="4" t="n">
        <v>2783961</v>
      </c>
    </row>
    <row r="3" customFormat="false" ht="15" hidden="false" customHeight="false" outlineLevel="0" collapsed="false">
      <c r="A3" s="2" t="n">
        <v>43132</v>
      </c>
      <c r="B3" s="3" t="n">
        <v>2018</v>
      </c>
      <c r="C3" s="3" t="n">
        <v>2</v>
      </c>
      <c r="D3" s="3" t="s">
        <v>6</v>
      </c>
      <c r="E3" s="4" t="n">
        <v>5738544</v>
      </c>
    </row>
    <row r="4" customFormat="false" ht="15" hidden="false" customHeight="false" outlineLevel="0" collapsed="false">
      <c r="A4" s="2" t="n">
        <v>43160</v>
      </c>
      <c r="B4" s="3" t="n">
        <v>2018</v>
      </c>
      <c r="C4" s="3" t="n">
        <v>3</v>
      </c>
      <c r="D4" s="3" t="s">
        <v>7</v>
      </c>
      <c r="E4" s="4" t="n">
        <v>9678183</v>
      </c>
    </row>
    <row r="5" customFormat="false" ht="15" hidden="false" customHeight="false" outlineLevel="0" collapsed="false">
      <c r="A5" s="2" t="n">
        <v>43191</v>
      </c>
      <c r="B5" s="3" t="n">
        <v>2018</v>
      </c>
      <c r="C5" s="3" t="n">
        <v>4</v>
      </c>
      <c r="D5" s="3" t="s">
        <v>8</v>
      </c>
      <c r="E5" s="4" t="n">
        <v>7603155</v>
      </c>
    </row>
    <row r="6" customFormat="false" ht="15" hidden="false" customHeight="false" outlineLevel="0" collapsed="false">
      <c r="A6" s="2" t="n">
        <v>43221</v>
      </c>
      <c r="B6" s="3" t="n">
        <v>2018</v>
      </c>
      <c r="C6" s="3" t="n">
        <v>5</v>
      </c>
      <c r="D6" s="3" t="s">
        <v>9</v>
      </c>
      <c r="E6" s="4" t="n">
        <v>4901169</v>
      </c>
    </row>
    <row r="7" customFormat="false" ht="15" hidden="false" customHeight="false" outlineLevel="0" collapsed="false">
      <c r="A7" s="2" t="n">
        <v>43252</v>
      </c>
      <c r="B7" s="3" t="n">
        <v>2018</v>
      </c>
      <c r="C7" s="3" t="n">
        <v>6</v>
      </c>
      <c r="D7" s="3" t="s">
        <v>10</v>
      </c>
      <c r="E7" s="4" t="n">
        <v>4490438</v>
      </c>
    </row>
    <row r="8" customFormat="false" ht="15" hidden="false" customHeight="false" outlineLevel="0" collapsed="false">
      <c r="A8" s="2" t="n">
        <v>43282</v>
      </c>
      <c r="B8" s="3" t="n">
        <v>2018</v>
      </c>
      <c r="C8" s="3" t="n">
        <v>7</v>
      </c>
      <c r="D8" s="3" t="s">
        <v>11</v>
      </c>
      <c r="E8" s="4" t="n">
        <v>5434002</v>
      </c>
    </row>
    <row r="9" customFormat="false" ht="15" hidden="false" customHeight="false" outlineLevel="0" collapsed="false">
      <c r="A9" s="2" t="n">
        <v>43313</v>
      </c>
      <c r="B9" s="3" t="n">
        <v>2018</v>
      </c>
      <c r="C9" s="3" t="n">
        <v>8</v>
      </c>
      <c r="D9" s="3" t="s">
        <v>12</v>
      </c>
      <c r="E9" s="4" t="n">
        <v>5372660</v>
      </c>
    </row>
    <row r="10" customFormat="false" ht="15" hidden="false" customHeight="false" outlineLevel="0" collapsed="false">
      <c r="A10" s="2" t="n">
        <v>43344</v>
      </c>
      <c r="B10" s="3" t="n">
        <v>2018</v>
      </c>
      <c r="C10" s="3" t="n">
        <v>9</v>
      </c>
      <c r="D10" s="3" t="s">
        <v>13</v>
      </c>
      <c r="E10" s="4" t="n">
        <v>5184049</v>
      </c>
    </row>
    <row r="11" customFormat="false" ht="15" hidden="false" customHeight="false" outlineLevel="0" collapsed="false">
      <c r="A11" s="2" t="n">
        <v>43374</v>
      </c>
      <c r="B11" s="3" t="n">
        <v>2018</v>
      </c>
      <c r="C11" s="3" t="n">
        <v>10</v>
      </c>
      <c r="D11" s="3" t="s">
        <v>14</v>
      </c>
      <c r="E11" s="4" t="n">
        <v>3324970</v>
      </c>
    </row>
    <row r="12" customFormat="false" ht="15" hidden="false" customHeight="false" outlineLevel="0" collapsed="false">
      <c r="A12" s="2" t="n">
        <v>43405</v>
      </c>
      <c r="B12" s="3" t="n">
        <v>2018</v>
      </c>
      <c r="C12" s="3" t="n">
        <v>11</v>
      </c>
      <c r="D12" s="3" t="s">
        <v>15</v>
      </c>
      <c r="E12" s="4" t="n">
        <v>2799881</v>
      </c>
    </row>
    <row r="13" customFormat="false" ht="15" hidden="false" customHeight="false" outlineLevel="0" collapsed="false">
      <c r="A13" s="2" t="n">
        <v>43435</v>
      </c>
      <c r="B13" s="3" t="n">
        <v>2018</v>
      </c>
      <c r="C13" s="3" t="n">
        <v>12</v>
      </c>
      <c r="D13" s="3" t="s">
        <v>16</v>
      </c>
      <c r="E13" s="4" t="n">
        <v>1889522</v>
      </c>
    </row>
    <row r="14" customFormat="false" ht="15" hidden="false" customHeight="false" outlineLevel="0" collapsed="false">
      <c r="A14" s="2" t="n">
        <v>43466</v>
      </c>
      <c r="B14" s="3" t="n">
        <v>2019</v>
      </c>
      <c r="C14" s="3" t="n">
        <v>1</v>
      </c>
      <c r="D14" s="3" t="s">
        <v>5</v>
      </c>
      <c r="E14" s="4" t="n">
        <v>2037525</v>
      </c>
    </row>
    <row r="15" customFormat="false" ht="15" hidden="false" customHeight="false" outlineLevel="0" collapsed="false">
      <c r="A15" s="2" t="n">
        <v>43497</v>
      </c>
      <c r="B15" s="3" t="n">
        <v>2019</v>
      </c>
      <c r="C15" s="3" t="n">
        <v>2</v>
      </c>
      <c r="D15" s="3" t="s">
        <v>6</v>
      </c>
      <c r="E15" s="4" t="n">
        <v>3631559</v>
      </c>
    </row>
    <row r="16" customFormat="false" ht="15" hidden="false" customHeight="false" outlineLevel="0" collapsed="false">
      <c r="A16" s="2" t="n">
        <v>43525</v>
      </c>
      <c r="B16" s="3" t="n">
        <v>2019</v>
      </c>
      <c r="C16" s="3" t="n">
        <v>3</v>
      </c>
      <c r="D16" s="3" t="s">
        <v>7</v>
      </c>
      <c r="E16" s="4" t="n">
        <v>9168951</v>
      </c>
    </row>
    <row r="17" customFormat="false" ht="15" hidden="false" customHeight="false" outlineLevel="0" collapsed="false">
      <c r="A17" s="2" t="n">
        <v>43556</v>
      </c>
      <c r="B17" s="3" t="n">
        <v>2019</v>
      </c>
      <c r="C17" s="3" t="n">
        <v>4</v>
      </c>
      <c r="D17" s="3" t="s">
        <v>8</v>
      </c>
      <c r="E17" s="4" t="n">
        <v>8937444</v>
      </c>
    </row>
    <row r="18" customFormat="false" ht="15" hidden="false" customHeight="false" outlineLevel="0" collapsed="false">
      <c r="A18" s="2" t="n">
        <v>43586</v>
      </c>
      <c r="B18" s="3" t="n">
        <v>2019</v>
      </c>
      <c r="C18" s="3" t="n">
        <v>5</v>
      </c>
      <c r="D18" s="3" t="s">
        <v>9</v>
      </c>
      <c r="E18" s="4" t="n">
        <v>4367308</v>
      </c>
    </row>
    <row r="19" customFormat="false" ht="15" hidden="false" customHeight="false" outlineLevel="0" collapsed="false">
      <c r="A19" s="2" t="n">
        <v>43617</v>
      </c>
      <c r="B19" s="3" t="n">
        <v>2019</v>
      </c>
      <c r="C19" s="3" t="n">
        <v>6</v>
      </c>
      <c r="D19" s="3" t="s">
        <v>10</v>
      </c>
      <c r="E19" s="4" t="n">
        <v>4312981</v>
      </c>
    </row>
    <row r="20" customFormat="false" ht="15" hidden="false" customHeight="false" outlineLevel="0" collapsed="false">
      <c r="A20" s="2" t="n">
        <v>43647</v>
      </c>
      <c r="B20" s="3" t="n">
        <v>2019</v>
      </c>
      <c r="C20" s="3" t="n">
        <v>7</v>
      </c>
      <c r="D20" s="3" t="s">
        <v>11</v>
      </c>
      <c r="E20" s="4" t="n">
        <v>4640762</v>
      </c>
    </row>
    <row r="21" customFormat="false" ht="15" hidden="false" customHeight="false" outlineLevel="0" collapsed="false">
      <c r="A21" s="2" t="n">
        <v>43678</v>
      </c>
      <c r="B21" s="3" t="n">
        <v>2019</v>
      </c>
      <c r="C21" s="3" t="n">
        <v>8</v>
      </c>
      <c r="D21" s="3" t="s">
        <v>12</v>
      </c>
      <c r="E21" s="4" t="n">
        <v>5603865</v>
      </c>
    </row>
    <row r="22" customFormat="false" ht="15" hidden="false" customHeight="false" outlineLevel="0" collapsed="false">
      <c r="A22" s="2" t="n">
        <v>43709</v>
      </c>
      <c r="B22" s="3" t="n">
        <v>2019</v>
      </c>
      <c r="C22" s="3" t="n">
        <v>9</v>
      </c>
      <c r="D22" s="3" t="s">
        <v>13</v>
      </c>
      <c r="E22" s="4" t="n">
        <v>4234769</v>
      </c>
    </row>
    <row r="23" customFormat="false" ht="15" hidden="false" customHeight="false" outlineLevel="0" collapsed="false">
      <c r="A23" s="2" t="n">
        <v>43739</v>
      </c>
      <c r="B23" s="3" t="n">
        <v>2019</v>
      </c>
      <c r="C23" s="3" t="n">
        <v>10</v>
      </c>
      <c r="D23" s="3" t="s">
        <v>14</v>
      </c>
      <c r="E23" s="4" t="n">
        <v>3311329</v>
      </c>
    </row>
    <row r="24" customFormat="false" ht="15" hidden="false" customHeight="false" outlineLevel="0" collapsed="false">
      <c r="A24" s="2" t="n">
        <v>43770</v>
      </c>
      <c r="B24" s="3" t="n">
        <v>2019</v>
      </c>
      <c r="C24" s="3" t="n">
        <v>11</v>
      </c>
      <c r="D24" s="3" t="s">
        <v>15</v>
      </c>
      <c r="E24" s="4" t="n">
        <v>2652863</v>
      </c>
    </row>
    <row r="25" customFormat="false" ht="15" hidden="false" customHeight="false" outlineLevel="0" collapsed="false">
      <c r="A25" s="2" t="n">
        <v>43800</v>
      </c>
      <c r="B25" s="3" t="n">
        <v>2019</v>
      </c>
      <c r="C25" s="3" t="n">
        <v>12</v>
      </c>
      <c r="D25" s="3" t="s">
        <v>16</v>
      </c>
      <c r="E25" s="4" t="n">
        <v>1704677</v>
      </c>
    </row>
    <row r="26" customFormat="false" ht="15" hidden="false" customHeight="false" outlineLevel="0" collapsed="false">
      <c r="A26" s="2" t="n">
        <v>43831</v>
      </c>
      <c r="B26" s="3" t="n">
        <v>2020</v>
      </c>
      <c r="C26" s="3" t="n">
        <v>1</v>
      </c>
      <c r="D26" s="3" t="s">
        <v>5</v>
      </c>
      <c r="E26" s="4" t="n">
        <v>1620438.44</v>
      </c>
    </row>
    <row r="27" customFormat="false" ht="15" hidden="false" customHeight="false" outlineLevel="0" collapsed="false">
      <c r="A27" s="2" t="n">
        <v>43862</v>
      </c>
      <c r="B27" s="3" t="n">
        <v>2020</v>
      </c>
      <c r="C27" s="3" t="n">
        <v>2</v>
      </c>
      <c r="D27" s="3" t="s">
        <v>6</v>
      </c>
      <c r="E27" s="4" t="n">
        <v>2302274.86</v>
      </c>
    </row>
    <row r="28" customFormat="false" ht="15" hidden="false" customHeight="false" outlineLevel="0" collapsed="false">
      <c r="A28" s="2" t="n">
        <v>43891</v>
      </c>
      <c r="B28" s="3" t="n">
        <v>2020</v>
      </c>
      <c r="C28" s="3" t="n">
        <v>3</v>
      </c>
      <c r="D28" s="3" t="s">
        <v>7</v>
      </c>
      <c r="E28" s="4" t="n">
        <v>6302865.34</v>
      </c>
    </row>
    <row r="29" customFormat="false" ht="15" hidden="false" customHeight="false" outlineLevel="0" collapsed="false">
      <c r="A29" s="2" t="n">
        <v>43922</v>
      </c>
      <c r="B29" s="3" t="n">
        <v>2020</v>
      </c>
      <c r="C29" s="3" t="n">
        <v>4</v>
      </c>
      <c r="D29" s="3" t="s">
        <v>8</v>
      </c>
      <c r="E29" s="4" t="n">
        <v>9768002.01</v>
      </c>
    </row>
    <row r="30" customFormat="false" ht="15" hidden="false" customHeight="false" outlineLevel="0" collapsed="false">
      <c r="A30" s="2" t="n">
        <v>43952</v>
      </c>
      <c r="B30" s="3" t="n">
        <v>2020</v>
      </c>
      <c r="C30" s="3" t="n">
        <v>5</v>
      </c>
      <c r="D30" s="3" t="s">
        <v>9</v>
      </c>
      <c r="E30" s="4" t="n">
        <v>6223452.84</v>
      </c>
    </row>
    <row r="31" customFormat="false" ht="15" hidden="false" customHeight="false" outlineLevel="0" collapsed="false">
      <c r="A31" s="2" t="n">
        <v>43983</v>
      </c>
      <c r="B31" s="3" t="n">
        <v>2020</v>
      </c>
      <c r="C31" s="3" t="n">
        <v>6</v>
      </c>
      <c r="D31" s="3" t="s">
        <v>10</v>
      </c>
      <c r="E31" s="4" t="n">
        <v>3572314.63</v>
      </c>
    </row>
    <row r="32" customFormat="false" ht="15" hidden="false" customHeight="false" outlineLevel="0" collapsed="false">
      <c r="A32" s="2" t="n">
        <v>44013</v>
      </c>
      <c r="B32" s="3" t="n">
        <v>2020</v>
      </c>
      <c r="C32" s="3" t="n">
        <v>7</v>
      </c>
      <c r="D32" s="3" t="s">
        <v>11</v>
      </c>
      <c r="E32" s="4" t="n">
        <v>4474208.33</v>
      </c>
    </row>
    <row r="33" customFormat="false" ht="15" hidden="false" customHeight="false" outlineLevel="0" collapsed="false">
      <c r="A33" s="2" t="n">
        <v>44044</v>
      </c>
      <c r="B33" s="3" t="n">
        <v>2020</v>
      </c>
      <c r="C33" s="3" t="n">
        <v>8</v>
      </c>
      <c r="D33" s="3" t="s">
        <v>12</v>
      </c>
      <c r="E33" s="4" t="n">
        <v>5798746.5</v>
      </c>
    </row>
    <row r="34" customFormat="false" ht="15" hidden="false" customHeight="false" outlineLevel="0" collapsed="false">
      <c r="A34" s="2" t="n">
        <v>44075</v>
      </c>
      <c r="B34" s="3" t="n">
        <v>2020</v>
      </c>
      <c r="C34" s="3" t="n">
        <v>9</v>
      </c>
      <c r="D34" s="3" t="s">
        <v>13</v>
      </c>
      <c r="E34" s="4" t="n">
        <v>5483198.85</v>
      </c>
    </row>
    <row r="35" customFormat="false" ht="15" hidden="false" customHeight="false" outlineLevel="0" collapsed="false">
      <c r="A35" s="2" t="n">
        <v>44105</v>
      </c>
      <c r="B35" s="3" t="n">
        <v>2020</v>
      </c>
      <c r="C35" s="3" t="n">
        <v>10</v>
      </c>
      <c r="D35" s="3" t="s">
        <v>14</v>
      </c>
      <c r="E35" s="4" t="n">
        <v>4259352.8</v>
      </c>
    </row>
    <row r="36" customFormat="false" ht="15" hidden="false" customHeight="false" outlineLevel="0" collapsed="false">
      <c r="A36" s="2" t="n">
        <v>44136</v>
      </c>
      <c r="B36" s="3" t="n">
        <v>2020</v>
      </c>
      <c r="C36" s="3" t="n">
        <v>11</v>
      </c>
      <c r="D36" s="3" t="s">
        <v>15</v>
      </c>
      <c r="E36" s="4" t="n">
        <v>3222552.29</v>
      </c>
    </row>
    <row r="37" customFormat="false" ht="15" hidden="false" customHeight="false" outlineLevel="0" collapsed="false">
      <c r="A37" s="2" t="n">
        <v>44166</v>
      </c>
      <c r="B37" s="3" t="n">
        <v>2020</v>
      </c>
      <c r="C37" s="3" t="n">
        <v>12</v>
      </c>
      <c r="D37" s="3" t="s">
        <v>16</v>
      </c>
      <c r="E37" s="4" t="n">
        <v>1621795.35</v>
      </c>
    </row>
    <row r="38" customFormat="false" ht="15" hidden="false" customHeight="false" outlineLevel="0" collapsed="false">
      <c r="A38" s="2" t="n">
        <v>44197</v>
      </c>
      <c r="B38" s="3" t="n">
        <v>2021</v>
      </c>
      <c r="C38" s="3" t="n">
        <v>1</v>
      </c>
      <c r="D38" s="3" t="s">
        <v>5</v>
      </c>
      <c r="E38" s="4" t="n">
        <v>2083251.67</v>
      </c>
    </row>
    <row r="39" customFormat="false" ht="15" hidden="false" customHeight="false" outlineLevel="0" collapsed="false">
      <c r="A39" s="2" t="n">
        <v>44228</v>
      </c>
      <c r="B39" s="3" t="n">
        <v>2021</v>
      </c>
      <c r="C39" s="3" t="n">
        <v>2</v>
      </c>
      <c r="D39" s="3" t="s">
        <v>6</v>
      </c>
      <c r="E39" s="4" t="n">
        <v>4056990.92</v>
      </c>
    </row>
    <row r="40" customFormat="false" ht="15" hidden="false" customHeight="false" outlineLevel="0" collapsed="false">
      <c r="A40" s="2" t="n">
        <v>44256</v>
      </c>
      <c r="B40" s="3" t="n">
        <v>2021</v>
      </c>
      <c r="C40" s="3" t="n">
        <v>3</v>
      </c>
      <c r="D40" s="3" t="s">
        <v>7</v>
      </c>
      <c r="E40" s="4" t="n">
        <v>9671598.42</v>
      </c>
    </row>
    <row r="41" customFormat="false" ht="15" hidden="false" customHeight="false" outlineLevel="0" collapsed="false">
      <c r="A41" s="2" t="n">
        <v>44287</v>
      </c>
      <c r="B41" s="3" t="n">
        <v>2021</v>
      </c>
      <c r="C41" s="3" t="n">
        <v>4</v>
      </c>
      <c r="D41" s="3" t="s">
        <v>8</v>
      </c>
      <c r="E41" s="4" t="n">
        <v>7771058.36</v>
      </c>
    </row>
    <row r="42" customFormat="false" ht="15" hidden="false" customHeight="false" outlineLevel="0" collapsed="false">
      <c r="A42" s="2" t="n">
        <v>44317</v>
      </c>
      <c r="B42" s="3" t="n">
        <v>2021</v>
      </c>
      <c r="C42" s="3" t="n">
        <v>5</v>
      </c>
      <c r="D42" s="3" t="s">
        <v>9</v>
      </c>
      <c r="E42" s="4" t="n">
        <v>3949995.17</v>
      </c>
    </row>
    <row r="43" customFormat="false" ht="15" hidden="false" customHeight="false" outlineLevel="0" collapsed="false">
      <c r="A43" s="2" t="n">
        <v>44348</v>
      </c>
      <c r="B43" s="3" t="n">
        <v>2021</v>
      </c>
      <c r="C43" s="3" t="n">
        <v>6</v>
      </c>
      <c r="D43" s="3" t="s">
        <v>10</v>
      </c>
      <c r="E43" s="4" t="n">
        <v>4035004.3</v>
      </c>
    </row>
    <row r="44" customFormat="false" ht="15" hidden="false" customHeight="false" outlineLevel="0" collapsed="false">
      <c r="A44" s="2" t="n">
        <v>44378</v>
      </c>
      <c r="B44" s="3" t="n">
        <v>2021</v>
      </c>
      <c r="C44" s="3" t="n">
        <v>7</v>
      </c>
      <c r="D44" s="3" t="s">
        <v>11</v>
      </c>
      <c r="E44" s="4" t="n">
        <v>5510292.14</v>
      </c>
    </row>
    <row r="45" customFormat="false" ht="15" hidden="false" customHeight="false" outlineLevel="0" collapsed="false">
      <c r="A45" s="2" t="n">
        <v>44409</v>
      </c>
      <c r="B45" s="3" t="n">
        <v>2021</v>
      </c>
      <c r="C45" s="3" t="n">
        <v>8</v>
      </c>
      <c r="D45" s="3" t="s">
        <v>12</v>
      </c>
      <c r="E45" s="4" t="n">
        <v>4164373.97</v>
      </c>
    </row>
    <row r="46" customFormat="false" ht="15" hidden="false" customHeight="false" outlineLevel="0" collapsed="false">
      <c r="A46" s="2" t="n">
        <v>44440</v>
      </c>
      <c r="B46" s="3" t="n">
        <v>2021</v>
      </c>
      <c r="C46" s="3" t="n">
        <v>9</v>
      </c>
      <c r="D46" s="3" t="s">
        <v>13</v>
      </c>
      <c r="E46" s="4" t="n">
        <v>4274912.1</v>
      </c>
    </row>
    <row r="47" customFormat="false" ht="15" hidden="false" customHeight="false" outlineLevel="0" collapsed="false">
      <c r="A47" s="2" t="n">
        <v>44470</v>
      </c>
      <c r="B47" s="3" t="n">
        <v>2021</v>
      </c>
      <c r="C47" s="3" t="n">
        <v>10</v>
      </c>
      <c r="D47" s="3" t="s">
        <v>14</v>
      </c>
      <c r="E47" s="4" t="n">
        <v>3993606.17</v>
      </c>
    </row>
    <row r="48" customFormat="false" ht="15" hidden="false" customHeight="false" outlineLevel="0" collapsed="false">
      <c r="A48" s="2" t="n">
        <v>44501</v>
      </c>
      <c r="B48" s="3" t="n">
        <v>2021</v>
      </c>
      <c r="C48" s="3" t="n">
        <v>11</v>
      </c>
      <c r="D48" s="3" t="s">
        <v>15</v>
      </c>
      <c r="E48" s="4" t="n">
        <v>2867110.74</v>
      </c>
    </row>
    <row r="49" customFormat="false" ht="15" hidden="false" customHeight="false" outlineLevel="0" collapsed="false">
      <c r="A49" s="2" t="n">
        <v>44531</v>
      </c>
      <c r="B49" s="3" t="n">
        <v>2021</v>
      </c>
      <c r="C49" s="3" t="n">
        <v>12</v>
      </c>
      <c r="D49" s="3" t="s">
        <v>16</v>
      </c>
      <c r="E49" s="4" t="n">
        <v>2037100.26</v>
      </c>
    </row>
    <row r="50" customFormat="false" ht="15" hidden="false" customHeight="false" outlineLevel="0" collapsed="false">
      <c r="A50" s="2" t="n">
        <v>44562</v>
      </c>
      <c r="B50" s="3" t="n">
        <v>2022</v>
      </c>
      <c r="C50" s="3" t="n">
        <v>1</v>
      </c>
      <c r="D50" s="3" t="s">
        <v>5</v>
      </c>
      <c r="E50" s="4" t="n">
        <v>2459883.42</v>
      </c>
    </row>
    <row r="51" customFormat="false" ht="15" hidden="false" customHeight="false" outlineLevel="0" collapsed="false">
      <c r="A51" s="2" t="n">
        <v>44593</v>
      </c>
      <c r="B51" s="3" t="n">
        <v>2022</v>
      </c>
      <c r="C51" s="3" t="n">
        <v>2</v>
      </c>
      <c r="D51" s="3" t="s">
        <v>6</v>
      </c>
      <c r="E51" s="4" t="n">
        <v>4083229.06</v>
      </c>
    </row>
    <row r="52" customFormat="false" ht="15" hidden="false" customHeight="false" outlineLevel="0" collapsed="false">
      <c r="A52" s="2" t="n">
        <v>44621</v>
      </c>
      <c r="B52" s="3" t="n">
        <v>2022</v>
      </c>
      <c r="C52" s="3" t="n">
        <v>3</v>
      </c>
      <c r="D52" s="3" t="s">
        <v>7</v>
      </c>
      <c r="E52" s="4" t="n">
        <v>9537194.13</v>
      </c>
    </row>
    <row r="53" customFormat="false" ht="15" hidden="false" customHeight="false" outlineLevel="0" collapsed="false">
      <c r="A53" s="2" t="n">
        <v>44652</v>
      </c>
      <c r="B53" s="3" t="n">
        <v>2022</v>
      </c>
      <c r="C53" s="3" t="n">
        <v>4</v>
      </c>
      <c r="D53" s="3" t="s">
        <v>8</v>
      </c>
      <c r="E53" s="4" t="n">
        <v>7736002.24</v>
      </c>
    </row>
    <row r="54" customFormat="false" ht="15" hidden="false" customHeight="false" outlineLevel="0" collapsed="false">
      <c r="A54" s="2" t="n">
        <v>44682</v>
      </c>
      <c r="B54" s="3" t="n">
        <v>2022</v>
      </c>
      <c r="C54" s="3" t="n">
        <v>5</v>
      </c>
      <c r="D54" s="3" t="s">
        <v>9</v>
      </c>
      <c r="E54" s="4" t="n">
        <v>4132245.07</v>
      </c>
    </row>
    <row r="55" customFormat="false" ht="15" hidden="false" customHeight="false" outlineLevel="0" collapsed="false">
      <c r="A55" s="2" t="n">
        <v>44713</v>
      </c>
      <c r="B55" s="3" t="n">
        <v>2022</v>
      </c>
      <c r="C55" s="3" t="n">
        <v>6</v>
      </c>
      <c r="D55" s="3" t="s">
        <v>10</v>
      </c>
      <c r="E55" s="4" t="n">
        <v>4357513.16</v>
      </c>
    </row>
    <row r="56" customFormat="false" ht="15" hidden="false" customHeight="false" outlineLevel="0" collapsed="false">
      <c r="A56" s="2" t="n">
        <v>44743</v>
      </c>
      <c r="B56" s="3" t="n">
        <v>2022</v>
      </c>
      <c r="C56" s="3" t="n">
        <v>7</v>
      </c>
      <c r="D56" s="3" t="s">
        <v>11</v>
      </c>
      <c r="E56" s="4" t="n">
        <v>4706419.93</v>
      </c>
    </row>
    <row r="57" customFormat="false" ht="15" hidden="false" customHeight="false" outlineLevel="0" collapsed="false">
      <c r="A57" s="2" t="n">
        <v>44774</v>
      </c>
      <c r="B57" s="3" t="n">
        <v>2022</v>
      </c>
      <c r="C57" s="3" t="n">
        <v>8</v>
      </c>
      <c r="D57" s="3" t="s">
        <v>12</v>
      </c>
      <c r="E57" s="4" t="n">
        <v>4080204.6</v>
      </c>
    </row>
    <row r="58" customFormat="false" ht="15" hidden="false" customHeight="false" outlineLevel="0" collapsed="false">
      <c r="A58" s="2" t="n">
        <v>44805</v>
      </c>
      <c r="B58" s="3" t="n">
        <v>2022</v>
      </c>
      <c r="C58" s="3" t="n">
        <v>9</v>
      </c>
      <c r="D58" s="3" t="s">
        <v>13</v>
      </c>
      <c r="E58" s="4" t="n">
        <v>4338405.08</v>
      </c>
    </row>
    <row r="59" customFormat="false" ht="15" hidden="false" customHeight="false" outlineLevel="0" collapsed="false">
      <c r="A59" s="2" t="n">
        <v>44835</v>
      </c>
      <c r="B59" s="3" t="n">
        <v>2022</v>
      </c>
      <c r="C59" s="3" t="n">
        <v>10</v>
      </c>
      <c r="D59" s="3" t="s">
        <v>14</v>
      </c>
      <c r="E59" s="4" t="n">
        <v>4133439.61</v>
      </c>
    </row>
    <row r="60" customFormat="false" ht="15" hidden="false" customHeight="false" outlineLevel="0" collapsed="false">
      <c r="A60" s="2" t="n">
        <v>44866</v>
      </c>
      <c r="B60" s="3" t="n">
        <v>2022</v>
      </c>
      <c r="C60" s="3" t="n">
        <v>11</v>
      </c>
      <c r="D60" s="3" t="s">
        <v>15</v>
      </c>
      <c r="E60" s="4" t="n">
        <v>3254106.43</v>
      </c>
    </row>
    <row r="61" customFormat="false" ht="15" hidden="false" customHeight="false" outlineLevel="0" collapsed="false">
      <c r="A61" s="2" t="n">
        <v>44896</v>
      </c>
      <c r="B61" s="3" t="n">
        <v>2022</v>
      </c>
      <c r="C61" s="3" t="n">
        <v>12</v>
      </c>
      <c r="D61" s="3" t="s">
        <v>16</v>
      </c>
      <c r="E61" s="4" t="n">
        <v>1930334.35</v>
      </c>
    </row>
    <row r="62" customFormat="false" ht="15" hidden="false" customHeight="false" outlineLevel="0" collapsed="false">
      <c r="A62" s="2" t="n">
        <v>44927</v>
      </c>
      <c r="B62" s="3" t="n">
        <v>2023</v>
      </c>
      <c r="C62" s="3" t="n">
        <v>1</v>
      </c>
      <c r="D62" s="3" t="s">
        <v>5</v>
      </c>
      <c r="E62" s="4" t="n">
        <v>2328608.76</v>
      </c>
    </row>
    <row r="63" customFormat="false" ht="15" hidden="false" customHeight="false" outlineLevel="0" collapsed="false">
      <c r="A63" s="2" t="n">
        <v>44958</v>
      </c>
      <c r="B63" s="3" t="n">
        <v>2023</v>
      </c>
      <c r="C63" s="3" t="n">
        <v>2</v>
      </c>
      <c r="D63" s="3" t="s">
        <v>6</v>
      </c>
      <c r="E63" s="4" t="n">
        <v>4949750.92</v>
      </c>
    </row>
    <row r="64" customFormat="false" ht="15" hidden="false" customHeight="false" outlineLevel="0" collapsed="false">
      <c r="A64" s="2" t="n">
        <v>44986</v>
      </c>
      <c r="B64" s="3" t="n">
        <v>2023</v>
      </c>
      <c r="C64" s="3" t="n">
        <v>3</v>
      </c>
      <c r="D64" s="3" t="s">
        <v>7</v>
      </c>
      <c r="E64" s="4" t="n">
        <v>8916267.05</v>
      </c>
    </row>
    <row r="65" customFormat="false" ht="15" hidden="false" customHeight="false" outlineLevel="0" collapsed="false">
      <c r="A65" s="2" t="n">
        <v>45017</v>
      </c>
      <c r="B65" s="3" t="n">
        <v>2023</v>
      </c>
      <c r="C65" s="3" t="n">
        <v>4</v>
      </c>
      <c r="D65" s="3" t="s">
        <v>8</v>
      </c>
      <c r="E65" s="4" t="n">
        <v>6351759.64</v>
      </c>
    </row>
    <row r="66" customFormat="false" ht="15" hidden="false" customHeight="false" outlineLevel="0" collapsed="false">
      <c r="A66" s="2" t="n">
        <v>45047</v>
      </c>
      <c r="B66" s="3" t="n">
        <v>2023</v>
      </c>
      <c r="C66" s="3" t="n">
        <v>5</v>
      </c>
      <c r="D66" s="3" t="s">
        <v>9</v>
      </c>
      <c r="E66" s="4" t="n">
        <v>4962529.14</v>
      </c>
    </row>
    <row r="67" customFormat="false" ht="15" hidden="false" customHeight="false" outlineLevel="0" collapsed="false">
      <c r="A67" s="2" t="n">
        <v>45078</v>
      </c>
      <c r="B67" s="3" t="n">
        <v>2023</v>
      </c>
      <c r="C67" s="3" t="n">
        <v>6</v>
      </c>
      <c r="D67" s="3" t="s">
        <v>10</v>
      </c>
      <c r="E67" s="4" t="n">
        <v>4838112.69</v>
      </c>
    </row>
    <row r="68" customFormat="false" ht="15" hidden="false" customHeight="false" outlineLevel="0" collapsed="false">
      <c r="A68" s="2" t="n">
        <v>45108</v>
      </c>
      <c r="B68" s="3" t="n">
        <v>2023</v>
      </c>
      <c r="C68" s="3" t="n">
        <v>7</v>
      </c>
      <c r="D68" s="3" t="s">
        <v>11</v>
      </c>
      <c r="E68" s="4" t="n">
        <v>4310177.04</v>
      </c>
    </row>
    <row r="69" customFormat="false" ht="15" hidden="false" customHeight="false" outlineLevel="0" collapsed="false">
      <c r="A69" s="2" t="n">
        <v>45139</v>
      </c>
      <c r="B69" s="3" t="n">
        <v>2023</v>
      </c>
      <c r="C69" s="3" t="n">
        <v>8</v>
      </c>
      <c r="D69" s="3" t="s">
        <v>12</v>
      </c>
      <c r="E69" s="4" t="n">
        <v>4380255.55</v>
      </c>
    </row>
    <row r="70" customFormat="false" ht="15" hidden="false" customHeight="false" outlineLevel="0" collapsed="false">
      <c r="A70" s="2" t="n">
        <v>45170</v>
      </c>
      <c r="B70" s="3" t="n">
        <v>2023</v>
      </c>
      <c r="C70" s="3" t="n">
        <v>9</v>
      </c>
      <c r="D70" s="3" t="s">
        <v>13</v>
      </c>
      <c r="E70" s="4" t="n">
        <v>4365421.64</v>
      </c>
    </row>
    <row r="71" customFormat="false" ht="15" hidden="false" customHeight="false" outlineLevel="0" collapsed="false">
      <c r="A71" s="2" t="n">
        <v>45200</v>
      </c>
      <c r="B71" s="3" t="n">
        <v>2023</v>
      </c>
      <c r="C71" s="3" t="n">
        <v>10</v>
      </c>
      <c r="D71" s="3" t="s">
        <v>14</v>
      </c>
      <c r="E71" s="4" t="n">
        <v>3804113.78</v>
      </c>
    </row>
    <row r="72" customFormat="false" ht="15" hidden="false" customHeight="false" outlineLevel="0" collapsed="false">
      <c r="A72" s="2" t="n">
        <v>45231</v>
      </c>
      <c r="B72" s="3" t="n">
        <v>2023</v>
      </c>
      <c r="C72" s="3" t="n">
        <v>11</v>
      </c>
      <c r="D72" s="3" t="s">
        <v>15</v>
      </c>
      <c r="E72" s="4" t="n">
        <v>2802377.64</v>
      </c>
    </row>
    <row r="73" customFormat="false" ht="15" hidden="false" customHeight="false" outlineLevel="0" collapsed="false">
      <c r="A73" s="2" t="n">
        <v>45261</v>
      </c>
      <c r="B73" s="3" t="n">
        <v>2023</v>
      </c>
      <c r="C73" s="3" t="n">
        <v>12</v>
      </c>
      <c r="D73" s="3" t="s">
        <v>16</v>
      </c>
      <c r="E73" s="4" t="n">
        <v>1971619.34</v>
      </c>
    </row>
    <row r="74" customFormat="false" ht="15" hidden="false" customHeight="false" outlineLevel="0" collapsed="false">
      <c r="A74" s="2" t="n">
        <v>45292</v>
      </c>
      <c r="B74" s="3" t="n">
        <v>2024</v>
      </c>
      <c r="C74" s="3" t="n">
        <v>1</v>
      </c>
      <c r="D74" s="3" t="s">
        <v>5</v>
      </c>
      <c r="E74" s="4" t="n">
        <v>1516039.96</v>
      </c>
    </row>
    <row r="75" customFormat="false" ht="15" hidden="false" customHeight="false" outlineLevel="0" collapsed="false">
      <c r="A75" s="2" t="n">
        <v>45323</v>
      </c>
      <c r="B75" s="3" t="n">
        <v>2024</v>
      </c>
      <c r="C75" s="3" t="n">
        <v>2</v>
      </c>
      <c r="D75" s="3" t="s">
        <v>6</v>
      </c>
      <c r="E75" s="4" t="n">
        <v>2409079.63</v>
      </c>
    </row>
    <row r="76" customFormat="false" ht="15" hidden="false" customHeight="false" outlineLevel="0" collapsed="false">
      <c r="A76" s="2" t="n">
        <v>45352</v>
      </c>
      <c r="B76" s="3" t="n">
        <v>2024</v>
      </c>
      <c r="C76" s="3" t="n">
        <v>3</v>
      </c>
      <c r="D76" s="3" t="s">
        <v>7</v>
      </c>
      <c r="E76" s="4" t="n">
        <v>5955666.8</v>
      </c>
    </row>
    <row r="77" customFormat="false" ht="15" hidden="false" customHeight="false" outlineLevel="0" collapsed="false">
      <c r="A77" s="2" t="n">
        <v>45383</v>
      </c>
      <c r="B77" s="3" t="n">
        <v>2024</v>
      </c>
      <c r="C77" s="3" t="n">
        <v>4</v>
      </c>
      <c r="D77" s="3" t="s">
        <v>8</v>
      </c>
      <c r="E77" s="4" t="n">
        <v>9340067.77</v>
      </c>
    </row>
    <row r="78" customFormat="false" ht="15" hidden="false" customHeight="false" outlineLevel="0" collapsed="false">
      <c r="A78" s="2" t="n">
        <v>45413</v>
      </c>
      <c r="B78" s="3" t="n">
        <v>2024</v>
      </c>
      <c r="C78" s="3" t="n">
        <v>5</v>
      </c>
      <c r="D78" s="3" t="s">
        <v>9</v>
      </c>
      <c r="E78" s="4" t="n">
        <v>6443243.14</v>
      </c>
    </row>
    <row r="79" customFormat="false" ht="15" hidden="false" customHeight="false" outlineLevel="0" collapsed="false">
      <c r="A79" s="2" t="n">
        <v>45444</v>
      </c>
      <c r="B79" s="3" t="n">
        <v>2024</v>
      </c>
      <c r="C79" s="3" t="n">
        <v>6</v>
      </c>
      <c r="D79" s="3" t="s">
        <v>10</v>
      </c>
      <c r="E79" s="4" t="n">
        <v>3636612.24</v>
      </c>
    </row>
    <row r="80" customFormat="false" ht="15" hidden="false" customHeight="false" outlineLevel="0" collapsed="false">
      <c r="A80" s="2" t="n">
        <v>45474</v>
      </c>
      <c r="B80" s="3" t="n">
        <v>2024</v>
      </c>
      <c r="C80" s="3" t="n">
        <v>7</v>
      </c>
      <c r="D80" s="3" t="s">
        <v>11</v>
      </c>
      <c r="E80" s="4" t="n">
        <v>3560388.25</v>
      </c>
    </row>
    <row r="81" customFormat="false" ht="15" hidden="false" customHeight="false" outlineLevel="0" collapsed="false">
      <c r="A81" s="2" t="n">
        <v>45505</v>
      </c>
      <c r="B81" s="3" t="n">
        <v>2024</v>
      </c>
      <c r="C81" s="3" t="n">
        <v>8</v>
      </c>
      <c r="D81" s="3" t="s">
        <v>12</v>
      </c>
      <c r="E81" s="4" t="n">
        <v>5118895.23</v>
      </c>
    </row>
    <row r="82" customFormat="false" ht="15" hidden="false" customHeight="false" outlineLevel="0" collapsed="false">
      <c r="A82" s="2" t="n">
        <v>45536</v>
      </c>
      <c r="B82" s="3" t="n">
        <v>2024</v>
      </c>
      <c r="C82" s="3" t="n">
        <v>9</v>
      </c>
      <c r="D82" s="3" t="s">
        <v>13</v>
      </c>
      <c r="E82" s="4" t="n">
        <v>5488911.33</v>
      </c>
    </row>
    <row r="83" customFormat="false" ht="15" hidden="false" customHeight="false" outlineLevel="0" collapsed="false">
      <c r="A83" s="2" t="n">
        <v>45566</v>
      </c>
      <c r="B83" s="3" t="n">
        <v>2024</v>
      </c>
      <c r="C83" s="3" t="n">
        <v>10</v>
      </c>
      <c r="D83" s="3" t="s">
        <v>14</v>
      </c>
      <c r="E83" s="4" t="n">
        <v>4558484.93</v>
      </c>
    </row>
    <row r="84" customFormat="false" ht="15" hidden="false" customHeight="false" outlineLevel="0" collapsed="false">
      <c r="A84" s="2" t="n">
        <v>45597</v>
      </c>
      <c r="B84" s="3" t="n">
        <v>2024</v>
      </c>
      <c r="C84" s="3" t="n">
        <v>11</v>
      </c>
      <c r="D84" s="3" t="s">
        <v>15</v>
      </c>
      <c r="E84" s="4" t="n">
        <v>3116578.33</v>
      </c>
    </row>
    <row r="85" customFormat="false" ht="15" hidden="false" customHeight="false" outlineLevel="0" collapsed="false">
      <c r="A85" s="2" t="n">
        <v>45627</v>
      </c>
      <c r="B85" s="3" t="n">
        <v>2024</v>
      </c>
      <c r="C85" s="3" t="n">
        <v>12</v>
      </c>
      <c r="D85" s="3" t="s">
        <v>16</v>
      </c>
      <c r="E85" s="4" t="n">
        <v>1998759.04</v>
      </c>
    </row>
    <row r="86" customFormat="false" ht="15" hidden="false" customHeight="false" outlineLevel="0" collapsed="false">
      <c r="A86" s="2" t="n">
        <v>45658</v>
      </c>
      <c r="B86" s="3" t="n">
        <v>2025</v>
      </c>
      <c r="C86" s="3" t="n">
        <v>1</v>
      </c>
      <c r="D86" s="3" t="s">
        <v>5</v>
      </c>
      <c r="E86" s="4" t="n">
        <v>2195026</v>
      </c>
    </row>
    <row r="87" customFormat="false" ht="15" hidden="false" customHeight="false" outlineLevel="0" collapsed="false">
      <c r="A87" s="2" t="n">
        <v>45689</v>
      </c>
      <c r="B87" s="3" t="n">
        <v>2025</v>
      </c>
      <c r="C87" s="3" t="n">
        <v>2</v>
      </c>
      <c r="D87" s="3" t="s">
        <v>6</v>
      </c>
      <c r="E87" s="4" t="n">
        <v>3961133</v>
      </c>
    </row>
    <row r="88" customFormat="false" ht="15" hidden="false" customHeight="false" outlineLevel="0" collapsed="false">
      <c r="A88" s="2" t="n">
        <v>45717</v>
      </c>
      <c r="B88" s="3" t="n">
        <v>2025</v>
      </c>
      <c r="C88" s="3" t="n">
        <v>3</v>
      </c>
      <c r="D88" s="3" t="s">
        <v>7</v>
      </c>
      <c r="E88" s="4" t="n">
        <v>9082728</v>
      </c>
    </row>
    <row r="89" customFormat="false" ht="15" hidden="false" customHeight="false" outlineLevel="0" collapsed="false">
      <c r="A89" s="2" t="n">
        <v>45748</v>
      </c>
      <c r="B89" s="3" t="n">
        <v>2025</v>
      </c>
      <c r="C89" s="3" t="n">
        <v>4</v>
      </c>
      <c r="D89" s="3" t="s">
        <v>8</v>
      </c>
      <c r="E89" s="4" t="n">
        <v>9089488</v>
      </c>
    </row>
    <row r="90" customFormat="false" ht="15" hidden="false" customHeight="false" outlineLevel="0" collapsed="false">
      <c r="A90" s="2" t="n">
        <v>45778</v>
      </c>
      <c r="B90" s="3" t="n">
        <v>2025</v>
      </c>
      <c r="C90" s="3" t="n">
        <v>5</v>
      </c>
      <c r="D90" s="3" t="s">
        <v>9</v>
      </c>
      <c r="E90" s="4" t="n">
        <v>5091187</v>
      </c>
    </row>
    <row r="91" customFormat="false" ht="15" hidden="false" customHeight="false" outlineLevel="0" collapsed="false">
      <c r="A91" s="2" t="n">
        <v>45809</v>
      </c>
      <c r="B91" s="3" t="n">
        <v>2025</v>
      </c>
      <c r="C91" s="3" t="n">
        <v>6</v>
      </c>
      <c r="D91" s="3" t="s">
        <v>10</v>
      </c>
      <c r="E91" s="4" t="n">
        <v>4013065</v>
      </c>
    </row>
    <row r="92" customFormat="false" ht="15" hidden="false" customHeight="false" outlineLevel="0" collapsed="false">
      <c r="A92" s="2" t="n">
        <v>45839</v>
      </c>
      <c r="B92" s="3" t="n">
        <v>2025</v>
      </c>
      <c r="C92" s="3" t="n">
        <v>7</v>
      </c>
      <c r="D92" s="3" t="s">
        <v>11</v>
      </c>
      <c r="E92" s="4" t="n">
        <v>4802216</v>
      </c>
    </row>
    <row r="93" customFormat="false" ht="15" hidden="false" customHeight="false" outlineLevel="0" collapsed="false">
      <c r="A93" s="2" t="n">
        <v>45870</v>
      </c>
      <c r="B93" s="3" t="n">
        <v>2025</v>
      </c>
      <c r="C93" s="3" t="n">
        <v>8</v>
      </c>
      <c r="D93" s="3" t="s">
        <v>12</v>
      </c>
      <c r="E93" s="4" t="n">
        <v>5625860</v>
      </c>
    </row>
    <row r="94" customFormat="false" ht="15" hidden="false" customHeight="false" outlineLevel="0" collapsed="false">
      <c r="A94" s="2" t="n">
        <v>45901</v>
      </c>
      <c r="B94" s="3" t="n">
        <v>2025</v>
      </c>
      <c r="C94" s="3" t="n">
        <v>9</v>
      </c>
      <c r="D94" s="3" t="s">
        <v>13</v>
      </c>
      <c r="E94" s="4" t="n">
        <v>5969147</v>
      </c>
    </row>
    <row r="95" customFormat="false" ht="15" hidden="false" customHeight="false" outlineLevel="0" collapsed="false">
      <c r="A95" s="2" t="n">
        <v>45931</v>
      </c>
      <c r="B95" s="3" t="n">
        <v>2025</v>
      </c>
      <c r="C95" s="3" t="n">
        <v>10</v>
      </c>
      <c r="D95" s="3" t="s">
        <v>14</v>
      </c>
      <c r="E95" s="4" t="n">
        <v>4738398</v>
      </c>
    </row>
    <row r="96" customFormat="false" ht="15" hidden="false" customHeight="false" outlineLevel="0" collapsed="false">
      <c r="A96" s="2" t="n">
        <v>45962</v>
      </c>
      <c r="B96" s="3" t="n">
        <v>2025</v>
      </c>
      <c r="C96" s="3" t="n">
        <v>11</v>
      </c>
      <c r="D96" s="3" t="s">
        <v>15</v>
      </c>
      <c r="E96" s="4" t="n">
        <v>3195694</v>
      </c>
    </row>
    <row r="97" customFormat="false" ht="15" hidden="false" customHeight="false" outlineLevel="0" collapsed="false">
      <c r="A97" s="2" t="n">
        <v>45992</v>
      </c>
      <c r="B97" s="3" t="n">
        <v>2025</v>
      </c>
      <c r="C97" s="3" t="n">
        <v>12</v>
      </c>
      <c r="D97" s="3" t="s">
        <v>16</v>
      </c>
      <c r="E97" s="4" t="n">
        <v>2443158</v>
      </c>
    </row>
    <row r="98" customFormat="false" ht="15" hidden="false" customHeight="false" outlineLevel="0" collapsed="false">
      <c r="A98" s="2" t="n">
        <v>46023</v>
      </c>
      <c r="B98" s="3" t="n">
        <v>2026</v>
      </c>
      <c r="C98" s="3" t="n">
        <v>1</v>
      </c>
      <c r="D98" s="3" t="s">
        <v>5</v>
      </c>
      <c r="E98" s="4" t="n">
        <v>3007278</v>
      </c>
    </row>
    <row r="99" customFormat="false" ht="15" hidden="false" customHeight="false" outlineLevel="0" collapsed="false">
      <c r="A99" s="2" t="n">
        <v>46054</v>
      </c>
      <c r="B99" s="3" t="n">
        <v>2026</v>
      </c>
      <c r="C99" s="3" t="n">
        <v>2</v>
      </c>
      <c r="D99" s="3" t="s">
        <v>6</v>
      </c>
      <c r="E99" s="4" t="n">
        <v>5008573</v>
      </c>
    </row>
    <row r="100" customFormat="false" ht="15" hidden="false" customHeight="false" outlineLevel="0" collapsed="false">
      <c r="A100" s="2" t="n">
        <v>46082</v>
      </c>
      <c r="B100" s="3" t="n">
        <v>2026</v>
      </c>
      <c r="C100" s="3" t="n">
        <v>3</v>
      </c>
      <c r="D100" s="3" t="s">
        <v>7</v>
      </c>
      <c r="E100" s="4" t="n">
        <v>8708970</v>
      </c>
    </row>
    <row r="101" customFormat="false" ht="15" hidden="false" customHeight="false" outlineLevel="0" collapsed="false">
      <c r="A101" s="2" t="n">
        <v>46113</v>
      </c>
      <c r="B101" s="3" t="n">
        <v>2026</v>
      </c>
      <c r="C101" s="3" t="n">
        <v>4</v>
      </c>
      <c r="D101" s="3" t="s">
        <v>8</v>
      </c>
      <c r="E101" s="4" t="n">
        <v>7632319</v>
      </c>
    </row>
    <row r="102" customFormat="false" ht="15" hidden="false" customHeight="false" outlineLevel="0" collapsed="false">
      <c r="A102" s="2" t="n">
        <v>46143</v>
      </c>
      <c r="B102" s="3" t="n">
        <v>2026</v>
      </c>
      <c r="C102" s="3" t="n">
        <v>5</v>
      </c>
      <c r="D102" s="3" t="s">
        <v>9</v>
      </c>
      <c r="E102" s="4" t="n">
        <v>4998609</v>
      </c>
    </row>
    <row r="103" customFormat="false" ht="15" hidden="false" customHeight="false" outlineLevel="0" collapsed="false">
      <c r="A103" s="2" t="n">
        <v>46174</v>
      </c>
      <c r="B103" s="3" t="n">
        <v>2026</v>
      </c>
      <c r="C103" s="3" t="n">
        <v>6</v>
      </c>
      <c r="D103" s="3" t="s">
        <v>10</v>
      </c>
      <c r="E103" s="4" t="n">
        <v>4329021</v>
      </c>
    </row>
    <row r="104" customFormat="false" ht="15" hidden="false" customHeight="false" outlineLevel="0" collapsed="false">
      <c r="A104" s="2" t="n">
        <v>46204</v>
      </c>
      <c r="B104" s="3" t="n">
        <v>2026</v>
      </c>
      <c r="C104" s="3" t="n">
        <v>7</v>
      </c>
      <c r="D104" s="3" t="s">
        <v>11</v>
      </c>
      <c r="E104" s="4" t="n">
        <v>4746453</v>
      </c>
    </row>
    <row r="105" customFormat="false" ht="15" hidden="false" customHeight="false" outlineLevel="0" collapsed="false">
      <c r="A105" s="2" t="n">
        <v>46235</v>
      </c>
      <c r="B105" s="3" t="n">
        <v>2026</v>
      </c>
      <c r="C105" s="3" t="n">
        <v>8</v>
      </c>
      <c r="D105" s="3" t="s">
        <v>12</v>
      </c>
      <c r="E105" s="4" t="n">
        <v>5460343</v>
      </c>
    </row>
    <row r="106" customFormat="false" ht="15" hidden="false" customHeight="false" outlineLevel="0" collapsed="false">
      <c r="A106" s="2" t="n">
        <v>46266</v>
      </c>
      <c r="B106" s="3" t="n">
        <v>2026</v>
      </c>
      <c r="C106" s="3" t="n">
        <v>9</v>
      </c>
      <c r="D106" s="3" t="s">
        <v>13</v>
      </c>
      <c r="E106" s="4"/>
    </row>
    <row r="107" customFormat="false" ht="15" hidden="false" customHeight="false" outlineLevel="0" collapsed="false">
      <c r="A107" s="2" t="n">
        <v>46296</v>
      </c>
      <c r="B107" s="3" t="n">
        <v>2026</v>
      </c>
      <c r="C107" s="3" t="n">
        <v>10</v>
      </c>
      <c r="D107" s="3" t="s">
        <v>14</v>
      </c>
      <c r="E107" s="4"/>
    </row>
    <row r="108" customFormat="false" ht="15" hidden="false" customHeight="false" outlineLevel="0" collapsed="false">
      <c r="A108" s="2" t="n">
        <v>46327</v>
      </c>
      <c r="B108" s="3" t="n">
        <v>2026</v>
      </c>
      <c r="C108" s="3" t="n">
        <v>11</v>
      </c>
      <c r="D108" s="3" t="s">
        <v>15</v>
      </c>
      <c r="E108" s="4"/>
    </row>
    <row r="109" customFormat="false" ht="15" hidden="false" customHeight="false" outlineLevel="0" collapsed="false">
      <c r="A109" s="2" t="n">
        <v>46357</v>
      </c>
      <c r="B109" s="3" t="n">
        <v>2026</v>
      </c>
      <c r="C109" s="3" t="n">
        <v>12</v>
      </c>
      <c r="D109" s="3" t="s">
        <v>16</v>
      </c>
      <c r="E109" s="4"/>
    </row>
  </sheetData>
  <autoFilter ref="A1:E10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22"/>
    <col collapsed="false" customWidth="true" hidden="false" outlineLevel="0" max="4" min="4" style="0" width="13"/>
  </cols>
  <sheetData>
    <row r="1" customFormat="false" ht="31.5" hidden="false" customHeight="true" outlineLevel="0" collapsed="false">
      <c r="A1" s="1" t="s">
        <v>1</v>
      </c>
      <c r="B1" s="1" t="s">
        <v>17</v>
      </c>
      <c r="C1" s="1" t="s">
        <v>18</v>
      </c>
      <c r="D1" s="1" t="s">
        <v>19</v>
      </c>
    </row>
    <row r="2" customFormat="false" ht="15" hidden="false" customHeight="false" outlineLevel="0" collapsed="false">
      <c r="A2" s="3" t="n">
        <v>2018</v>
      </c>
      <c r="B2" s="4" t="n">
        <v>59200534</v>
      </c>
      <c r="C2" s="4" t="n">
        <f aca="false">IF(COUNTIFS(Data_Bulanan!$B$2:$B$109,A2,Data_Bulanan!$E$2:$E$109,"&gt;=0")=0,"",SUMIFS(Data_Bulanan!$E$2:$E$109,Data_Bulanan!$B$2:$B$109,A2))</f>
        <v>59200534</v>
      </c>
      <c r="D2" s="4" t="n">
        <f aca="false">IF(OR(B2="",C2=""),"",ROUND(C2-B2,2))</f>
        <v>0</v>
      </c>
    </row>
    <row r="3" customFormat="false" ht="15" hidden="false" customHeight="false" outlineLevel="0" collapsed="false">
      <c r="A3" s="3" t="n">
        <v>2019</v>
      </c>
      <c r="B3" s="4" t="n">
        <v>54604033</v>
      </c>
      <c r="C3" s="4" t="n">
        <f aca="false">IF(COUNTIFS(Data_Bulanan!$B$2:$B$109,A3,Data_Bulanan!$E$2:$E$109,"&gt;=0")=0,"",SUMIFS(Data_Bulanan!$E$2:$E$109,Data_Bulanan!$B$2:$B$109,A3))</f>
        <v>54604033</v>
      </c>
      <c r="D3" s="4" t="n">
        <f aca="false">IF(OR(B3="",C3=""),"",ROUND(C3-B3,2))</f>
        <v>0</v>
      </c>
    </row>
    <row r="4" customFormat="false" ht="15" hidden="false" customHeight="false" outlineLevel="0" collapsed="false">
      <c r="A4" s="3" t="n">
        <v>2020</v>
      </c>
      <c r="B4" s="4" t="n">
        <v>54649202.24</v>
      </c>
      <c r="C4" s="4" t="n">
        <f aca="false">IF(COUNTIFS(Data_Bulanan!$B$2:$B$109,A4,Data_Bulanan!$E$2:$E$109,"&gt;=0")=0,"",SUMIFS(Data_Bulanan!$E$2:$E$109,Data_Bulanan!$B$2:$B$109,A4))</f>
        <v>54649202.24</v>
      </c>
      <c r="D4" s="4" t="n">
        <f aca="false">IF(OR(B4="",C4=""),"",ROUND(C4-B4,2))</f>
        <v>0</v>
      </c>
    </row>
    <row r="5" customFormat="false" ht="15" hidden="false" customHeight="false" outlineLevel="0" collapsed="false">
      <c r="A5" s="3" t="n">
        <v>2021</v>
      </c>
      <c r="B5" s="4" t="n">
        <v>54415294.22</v>
      </c>
      <c r="C5" s="4" t="n">
        <f aca="false">IF(COUNTIFS(Data_Bulanan!$B$2:$B$109,A5,Data_Bulanan!$E$2:$E$109,"&gt;=0")=0,"",SUMIFS(Data_Bulanan!$E$2:$E$109,Data_Bulanan!$B$2:$B$109,A5))</f>
        <v>54415294.22</v>
      </c>
      <c r="D5" s="4" t="n">
        <f aca="false">IF(OR(B5="",C5=""),"",ROUND(C5-B5,2))</f>
        <v>0</v>
      </c>
    </row>
    <row r="6" customFormat="false" ht="15" hidden="false" customHeight="false" outlineLevel="0" collapsed="false">
      <c r="A6" s="3" t="n">
        <v>2022</v>
      </c>
      <c r="B6" s="4" t="n">
        <v>54748977.08</v>
      </c>
      <c r="C6" s="4" t="n">
        <f aca="false">IF(COUNTIFS(Data_Bulanan!$B$2:$B$109,A6,Data_Bulanan!$E$2:$E$109,"&gt;=0")=0,"",SUMIFS(Data_Bulanan!$E$2:$E$109,Data_Bulanan!$B$2:$B$109,A6))</f>
        <v>54748977.08</v>
      </c>
      <c r="D6" s="4" t="n">
        <f aca="false">IF(OR(B6="",C6=""),"",ROUND(C6-B6,2))</f>
        <v>0</v>
      </c>
    </row>
    <row r="7" customFormat="false" ht="15" hidden="false" customHeight="false" outlineLevel="0" collapsed="false">
      <c r="A7" s="3" t="n">
        <v>2023</v>
      </c>
      <c r="B7" s="4" t="n">
        <v>53980993.19</v>
      </c>
      <c r="C7" s="4" t="n">
        <f aca="false">IF(COUNTIFS(Data_Bulanan!$B$2:$B$109,A7,Data_Bulanan!$E$2:$E$109,"&gt;=0")=0,"",SUMIFS(Data_Bulanan!$E$2:$E$109,Data_Bulanan!$B$2:$B$109,A7))</f>
        <v>53980993.19</v>
      </c>
      <c r="D7" s="4" t="n">
        <f aca="false">IF(OR(B7="",C7=""),"",ROUND(C7-B7,2))</f>
        <v>0</v>
      </c>
    </row>
    <row r="8" customFormat="false" ht="15" hidden="false" customHeight="false" outlineLevel="0" collapsed="false">
      <c r="A8" s="3" t="n">
        <v>2024</v>
      </c>
      <c r="B8" s="4" t="n">
        <v>53142726.65</v>
      </c>
      <c r="C8" s="4" t="n">
        <f aca="false">IF(COUNTIFS(Data_Bulanan!$B$2:$B$109,A8,Data_Bulanan!$E$2:$E$109,"&gt;=0")=0,"",SUMIFS(Data_Bulanan!$E$2:$E$109,Data_Bulanan!$B$2:$B$109,A8))</f>
        <v>53142726.65</v>
      </c>
      <c r="D8" s="4" t="n">
        <f aca="false">IF(OR(B8="",C8=""),"",ROUND(C8-B8,2))</f>
        <v>0</v>
      </c>
    </row>
    <row r="9" customFormat="false" ht="15" hidden="false" customHeight="false" outlineLevel="0" collapsed="false">
      <c r="A9" s="3" t="n">
        <v>2025</v>
      </c>
      <c r="B9" s="4" t="n">
        <v>60207101</v>
      </c>
      <c r="C9" s="4" t="n">
        <f aca="false">IF(COUNTIFS(Data_Bulanan!$B$2:$B$109,A9,Data_Bulanan!$E$2:$E$109,"&gt;=0")=0,"",SUMIFS(Data_Bulanan!$E$2:$E$109,Data_Bulanan!$B$2:$B$109,A9))</f>
        <v>60207100</v>
      </c>
      <c r="D9" s="4" t="n">
        <f aca="false">IF(OR(B9="",C9=""),"",ROUND(C9-B9,2))</f>
        <v>-1</v>
      </c>
    </row>
    <row r="10" customFormat="false" ht="15" hidden="false" customHeight="false" outlineLevel="0" collapsed="false">
      <c r="A10" s="3" t="n">
        <v>2026</v>
      </c>
      <c r="B10" s="4" t="n">
        <v>43891567</v>
      </c>
      <c r="C10" s="4" t="n">
        <f aca="false">IF(COUNTIFS(Data_Bulanan!$B$2:$B$109,A10,Data_Bulanan!$E$2:$E$109,"&gt;=0")=0,"",SUMIFS(Data_Bulanan!$E$2:$E$109,Data_Bulanan!$B$2:$B$109,A10))</f>
        <v>43891566</v>
      </c>
      <c r="D10" s="4" t="n">
        <f aca="false">IF(OR(B10="",C10=""),"",ROUND(C10-B10,2))</f>
        <v>-1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</cols>
  <sheetData>
    <row r="1" customFormat="false" ht="15" hidden="false" customHeight="false" outlineLevel="0" collapsed="false">
      <c r="A1" s="5" t="s">
        <v>20</v>
      </c>
    </row>
    <row r="2" customFormat="false" ht="15" hidden="false" customHeight="false" outlineLevel="0" collapsed="false">
      <c r="A2" s="3" t="s">
        <v>21</v>
      </c>
    </row>
    <row r="3" customFormat="false" ht="15" hidden="false" customHeight="false" outlineLevel="0" collapsed="false">
      <c r="A3" s="3" t="s">
        <v>22</v>
      </c>
    </row>
    <row r="4" customFormat="false" ht="15" hidden="false" customHeight="false" outlineLevel="0" collapsed="false">
      <c r="A4" s="3" t="s">
        <v>23</v>
      </c>
    </row>
    <row r="5" customFormat="false" ht="15" hidden="false" customHeight="false" outlineLevel="0" collapsed="false">
      <c r="A5" s="3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2026-10-25T07:23:27Z</dcterms:created>
  <dc:creator>openpyxl</dc:creator>
  <dc:description/>
  <dc:language>en-US</dc:language>
  <cp:lastModifiedBy/>
  <dcterms:modified xsi:type="dcterms:W3CDTF">2026-10-25T07:23:27Z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